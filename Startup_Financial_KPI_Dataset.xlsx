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 activeTab="3"/>
  </bookViews>
  <sheets>
    <sheet name="pivot" sheetId="4" r:id="rId1"/>
    <sheet name="Startup_Financials" sheetId="1" r:id="rId2"/>
    <sheet name="KPI_Formulas" sheetId="2" r:id="rId3"/>
    <sheet name="Dashboard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<sst xmlns="http://schemas.openxmlformats.org/spreadsheetml/2006/main" count="120" uniqueCount="49">
  <si>
    <t>Month</t>
  </si>
  <si>
    <t>Sum of Revenue</t>
  </si>
  <si>
    <t>Sum of 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</si>
  <si>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</si>
  <si>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</si>
  <si>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</si>
  <si>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</si>
  <si>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</si>
  <si>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</si>
  <si>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</si>
  <si>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</si>
  <si>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</si>
  <si>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</si>
  <si>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</si>
  <si>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</si>
  <si>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</si>
  <si>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Profit</t>
  </si>
  <si>
    <t>Sum of Active_Customers</t>
  </si>
  <si>
    <t>Sum of LTV</t>
  </si>
  <si>
    <t>Sum of CAC</t>
  </si>
  <si>
    <t>Revenue</t>
  </si>
  <si>
    <t>Expenses</t>
  </si>
  <si>
    <t>Marketing_Cost</t>
  </si>
  <si>
    <t>New_Customers</t>
  </si>
  <si>
    <t>Active_Customers</t>
  </si>
  <si>
    <t>Churn_Customers</t>
  </si>
  <si>
    <t>Subscription_Revenue</t>
  </si>
  <si>
    <t>Operating_Cost</t>
  </si>
  <si>
    <t>Profit</t>
  </si>
  <si>
    <r>
      <rPr>
        <sz val="11"/>
        <color theme="1"/>
        <rFont val="Calibri"/>
        <charset val="134"/>
        <scheme val="minor"/>
      </rPr>
      <t xml:space="preserve">Profit Margin </t>
    </r>
    <r>
      <rPr>
        <strike/>
        <sz val="11"/>
        <color theme="1"/>
        <rFont val="Calibri"/>
        <charset val="134"/>
        <scheme val="minor"/>
      </rPr>
      <t>%</t>
    </r>
  </si>
  <si>
    <t>CAC</t>
  </si>
  <si>
    <t>LTV</t>
  </si>
  <si>
    <t>LTV:CAC Ratio</t>
  </si>
  <si>
    <t>Burn Rate</t>
  </si>
  <si>
    <t>Metric</t>
  </si>
  <si>
    <t>Formula / Value</t>
  </si>
  <si>
    <t>Total Revenue</t>
  </si>
  <si>
    <t>Total Expenses</t>
  </si>
  <si>
    <t>Net Profit</t>
  </si>
  <si>
    <t>Burn Rate (Monthly Avg)</t>
  </si>
  <si>
    <t>Total Marketing Cost</t>
  </si>
  <si>
    <t>Total New Customers</t>
  </si>
  <si>
    <t>Average Revenue</t>
  </si>
  <si>
    <t>Average Active Customers</t>
  </si>
  <si>
    <t>Startup Financial KPI Dashboard</t>
  </si>
  <si>
    <t>Total Expensive</t>
  </si>
  <si>
    <t>Total Profit</t>
  </si>
  <si>
    <t>Average CAC</t>
  </si>
  <si>
    <t>Average LTV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</si>
</sst>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trike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0" borderId="0" xfId="0" applyNumberFormat="1"/>
    <xf numFmtId="180" fontId="0" fillId="0" borderId="0" xfId="0" applyNumberFormat="1"/>
    <xf numFmtId="180" fontId="0" fillId="0" borderId="0" xfId="0" applyNumberFormat="1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0" formatCode="General"/>
    </dxf>
    <dxf>
      <numFmt numFmtId="180" formatCode="0.00_);[Red]\(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pivot!$B$4:$B$16</c:f>
              <c:numCache>
                <c:formatCode>General</c:formatCode>
                <c:ptCount val="12"/>
                <c:pt idx="0">
                  <c:v>120000</c:v>
                </c:pt>
                <c:pt idx="1">
                  <c:v>135000</c:v>
                </c:pt>
                <c:pt idx="2">
                  <c:v>150000</c:v>
                </c:pt>
                <c:pt idx="3">
                  <c:v>165000</c:v>
                </c:pt>
                <c:pt idx="4">
                  <c:v>182000</c:v>
                </c:pt>
                <c:pt idx="5">
                  <c:v>198000</c:v>
                </c:pt>
                <c:pt idx="6">
                  <c:v>215000</c:v>
                </c:pt>
                <c:pt idx="7">
                  <c:v>232000</c:v>
                </c:pt>
                <c:pt idx="8">
                  <c:v>248000</c:v>
                </c:pt>
                <c:pt idx="9">
                  <c:v>265000</c:v>
                </c:pt>
                <c:pt idx="10">
                  <c:v>285000</c:v>
                </c:pt>
                <c:pt idx="11">
                  <c:v>310000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7402917"/>
        <c:axId val="441978286"/>
      </c:lineChart>
      <c:catAx>
        <c:axId val="8074029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978286"/>
        <c:crosses val="autoZero"/>
        <c:auto val="1"/>
        <c:lblAlgn val="ctr"/>
        <c:lblOffset val="100"/>
        <c:noMultiLvlLbl val="0"/>
      </c:catAx>
      <c:valAx>
        <c:axId val="441978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4029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General</c:formatCode>
                <c:ptCount val="12"/>
                <c:pt idx="0">
                  <c:v>95000</c:v>
                </c:pt>
                <c:pt idx="1">
                  <c:v>98000</c:v>
                </c:pt>
                <c:pt idx="2">
                  <c:v>105000</c:v>
                </c:pt>
                <c:pt idx="3">
                  <c:v>112000</c:v>
                </c:pt>
                <c:pt idx="4">
                  <c:v>120000</c:v>
                </c:pt>
                <c:pt idx="5">
                  <c:v>130000</c:v>
                </c:pt>
                <c:pt idx="6">
                  <c:v>138000</c:v>
                </c:pt>
                <c:pt idx="7">
                  <c:v>145000</c:v>
                </c:pt>
                <c:pt idx="8">
                  <c:v>153000</c:v>
                </c:pt>
                <c:pt idx="9">
                  <c:v>162000</c:v>
                </c:pt>
                <c:pt idx="10">
                  <c:v>170000</c:v>
                </c:pt>
                <c:pt idx="11">
                  <c:v>182000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826205"/>
        <c:axId val="219521940"/>
      </c:lineChart>
      <c:catAx>
        <c:axId val="6278262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521940"/>
        <c:crosses val="autoZero"/>
        <c:auto val="1"/>
        <c:lblAlgn val="ctr"/>
        <c:lblOffset val="100"/>
        <c:noMultiLvlLbl val="0"/>
      </c:catAx>
      <c:valAx>
        <c:axId val="2195219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826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pivot!$B$19:$B$31</c:f>
              <c:numCache>
                <c:formatCode>General</c:formatCode>
                <c:ptCount val="12"/>
                <c:pt idx="0">
                  <c:v>25000</c:v>
                </c:pt>
                <c:pt idx="1">
                  <c:v>37000</c:v>
                </c:pt>
                <c:pt idx="2">
                  <c:v>45000</c:v>
                </c:pt>
                <c:pt idx="3">
                  <c:v>53000</c:v>
                </c:pt>
                <c:pt idx="4">
                  <c:v>62000</c:v>
                </c:pt>
                <c:pt idx="5">
                  <c:v>68000</c:v>
                </c:pt>
                <c:pt idx="6">
                  <c:v>77000</c:v>
                </c:pt>
                <c:pt idx="7">
                  <c:v>87000</c:v>
                </c:pt>
                <c:pt idx="8">
                  <c:v>95000</c:v>
                </c:pt>
                <c:pt idx="9">
                  <c:v>103000</c:v>
                </c:pt>
                <c:pt idx="10">
                  <c:v>115000</c:v>
                </c:pt>
                <c:pt idx="11">
                  <c:v>128000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772771"/>
        <c:axId val="161308968"/>
      </c:lineChart>
      <c:catAx>
        <c:axId val="9027727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308968"/>
        <c:crosses val="autoZero"/>
        <c:auto val="1"/>
        <c:lblAlgn val="ctr"/>
        <c:lblOffset val="100"/>
        <c:noMultiLvlLbl val="0"/>
      </c:catAx>
      <c:valAx>
        <c:axId val="16130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7727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pivot!$K$18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pivot!$J$19:$J$31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pivot!$K$19:$K$31</c:f>
              <c:numCache>
                <c:formatCode>General</c:formatCode>
                <c:ptCount val="12"/>
                <c:pt idx="0">
                  <c:v>500</c:v>
                </c:pt>
                <c:pt idx="1">
                  <c:v>615</c:v>
                </c:pt>
                <c:pt idx="2">
                  <c:v>742</c:v>
                </c:pt>
                <c:pt idx="3">
                  <c:v>880</c:v>
                </c:pt>
                <c:pt idx="4">
                  <c:v>1030</c:v>
                </c:pt>
                <c:pt idx="5">
                  <c:v>1187</c:v>
                </c:pt>
                <c:pt idx="6">
                  <c:v>1352</c:v>
                </c:pt>
                <c:pt idx="7">
                  <c:v>1523</c:v>
                </c:pt>
                <c:pt idx="8">
                  <c:v>1702</c:v>
                </c:pt>
                <c:pt idx="9">
                  <c:v>1889</c:v>
                </c:pt>
                <c:pt idx="10">
                  <c:v>2082</c:v>
                </c:pt>
                <c:pt idx="11">
                  <c:v>2287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89199"/>
        <c:axId val="369907489"/>
      </c:lineChart>
      <c:catAx>
        <c:axId val="792389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907489"/>
        <c:crosses val="autoZero"/>
        <c:auto val="1"/>
        <c:lblAlgn val="ctr"/>
        <c:lblOffset val="100"/>
        <c:noMultiLvlLbl val="0"/>
      </c:catAx>
      <c:valAx>
        <c:axId val="3699074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3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[Startup_Financial_KPI_Dataset.xlsx]pivot!PivotTable5</c:name>
    <c:fmtId val="0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pivot!$D$33</c:f>
              <c:strCache>
                <c:ptCount val="1"/>
                <c:pt idx="0">
                  <c:v>Sum of LTV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pivot!$C$34:$C$46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pivot!$D$34:$D$46</c:f>
              <c:numCache>
                <c:formatCode>General</c:formatCode>
                <c:ptCount val="12"/>
                <c:pt idx="0">
                  <c:v>1920</c:v>
                </c:pt>
                <c:pt idx="1">
                  <c:v>1756.09756097561</c:v>
                </c:pt>
                <c:pt idx="2">
                  <c:v>1584.90566037736</c:v>
                </c:pt>
                <c:pt idx="3">
                  <c:v>1472.72727272727</c:v>
                </c:pt>
                <c:pt idx="4">
                  <c:v>1398.05825242718</c:v>
                </c:pt>
                <c:pt idx="5">
                  <c:v>1334.45661331087</c:v>
                </c:pt>
                <c:pt idx="6">
                  <c:v>1286.98224852071</c:v>
                </c:pt>
                <c:pt idx="7">
                  <c:v>1244.91135915955</c:v>
                </c:pt>
                <c:pt idx="8">
                  <c:v>1205.64042303173</c:v>
                </c:pt>
                <c:pt idx="9">
                  <c:v>1168.87241926945</c:v>
                </c:pt>
                <c:pt idx="10">
                  <c:v>1141.21037463977</c:v>
                </c:pt>
                <c:pt idx="11">
                  <c:v>1128.11543506777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pivot!$E$33</c:f>
              <c:strCache>
                <c:ptCount val="1"/>
                <c:pt idx="0">
                  <c:v>Sum of CAC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pivot!$C$34:$C$46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pivot!$E$34:$E$46</c:f>
              <c:numCache>
                <c:formatCode>General</c:formatCode>
                <c:ptCount val="12"/>
                <c:pt idx="0">
                  <c:v>125</c:v>
                </c:pt>
                <c:pt idx="1">
                  <c:v>118.518518518519</c:v>
                </c:pt>
                <c:pt idx="2">
                  <c:v>124.137931034483</c:v>
                </c:pt>
                <c:pt idx="3">
                  <c:v>118.75</c:v>
                </c:pt>
                <c:pt idx="4">
                  <c:v>120</c:v>
                </c:pt>
                <c:pt idx="5">
                  <c:v>118.918918918919</c:v>
                </c:pt>
                <c:pt idx="6">
                  <c:v>123.076923076923</c:v>
                </c:pt>
                <c:pt idx="7">
                  <c:v>121.951219512195</c:v>
                </c:pt>
                <c:pt idx="8">
                  <c:v>120.93023255814</c:v>
                </c:pt>
                <c:pt idx="9">
                  <c:v>124.444444444444</c:v>
                </c:pt>
                <c:pt idx="10">
                  <c:v>123.404255319149</c:v>
                </c:pt>
                <c:pt idx="11">
                  <c:v>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418526"/>
        <c:axId val="686601244"/>
      </c:lineChart>
      <c:catAx>
        <c:axId val="3624185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601244"/>
        <c:crosses val="autoZero"/>
        <c:auto val="1"/>
        <c:lblAlgn val="ctr"/>
        <c:lblOffset val="100"/>
        <c:noMultiLvlLbl val="0"/>
      </c:catAx>
      <c:valAx>
        <c:axId val="6866012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4185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pivot!$B$4:$B$16</c:f>
              <c:numCache>
                <c:formatCode>General</c:formatCode>
                <c:ptCount val="12"/>
                <c:pt idx="0">
                  <c:v>120000</c:v>
                </c:pt>
                <c:pt idx="1">
                  <c:v>135000</c:v>
                </c:pt>
                <c:pt idx="2">
                  <c:v>150000</c:v>
                </c:pt>
                <c:pt idx="3">
                  <c:v>165000</c:v>
                </c:pt>
                <c:pt idx="4">
                  <c:v>182000</c:v>
                </c:pt>
                <c:pt idx="5">
                  <c:v>198000</c:v>
                </c:pt>
                <c:pt idx="6">
                  <c:v>215000</c:v>
                </c:pt>
                <c:pt idx="7">
                  <c:v>232000</c:v>
                </c:pt>
                <c:pt idx="8">
                  <c:v>248000</c:v>
                </c:pt>
                <c:pt idx="9">
                  <c:v>265000</c:v>
                </c:pt>
                <c:pt idx="10">
                  <c:v>285000</c:v>
                </c:pt>
                <c:pt idx="11">
                  <c:v>310000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7402917"/>
        <c:axId val="441978286"/>
      </c:lineChart>
      <c:catAx>
        <c:axId val="8074029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978286"/>
        <c:crosses val="autoZero"/>
        <c:auto val="1"/>
        <c:lblAlgn val="ctr"/>
        <c:lblOffset val="100"/>
        <c:noMultiLvlLbl val="0"/>
      </c:catAx>
      <c:valAx>
        <c:axId val="441978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4029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669682-796e-4962-9fd1-8f8601ba4b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Expense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General</c:formatCode>
                <c:ptCount val="12"/>
                <c:pt idx="0">
                  <c:v>95000</c:v>
                </c:pt>
                <c:pt idx="1">
                  <c:v>98000</c:v>
                </c:pt>
                <c:pt idx="2">
                  <c:v>105000</c:v>
                </c:pt>
                <c:pt idx="3">
                  <c:v>112000</c:v>
                </c:pt>
                <c:pt idx="4">
                  <c:v>120000</c:v>
                </c:pt>
                <c:pt idx="5">
                  <c:v>130000</c:v>
                </c:pt>
                <c:pt idx="6">
                  <c:v>138000</c:v>
                </c:pt>
                <c:pt idx="7">
                  <c:v>145000</c:v>
                </c:pt>
                <c:pt idx="8">
                  <c:v>153000</c:v>
                </c:pt>
                <c:pt idx="9">
                  <c:v>162000</c:v>
                </c:pt>
                <c:pt idx="10">
                  <c:v>170000</c:v>
                </c:pt>
                <c:pt idx="11">
                  <c:v>182000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826205"/>
        <c:axId val="219521940"/>
      </c:lineChart>
      <c:catAx>
        <c:axId val="6278262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521940"/>
        <c:crosses val="autoZero"/>
        <c:auto val="1"/>
        <c:lblAlgn val="ctr"/>
        <c:lblOffset val="100"/>
        <c:noMultiLvlLbl val="0"/>
      </c:catAx>
      <c:valAx>
        <c:axId val="2195219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826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aaeec3-049a-4426-ab81-d7f013214f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pivot!$B$19:$B$31</c:f>
              <c:numCache>
                <c:formatCode>General</c:formatCode>
                <c:ptCount val="12"/>
                <c:pt idx="0">
                  <c:v>25000</c:v>
                </c:pt>
                <c:pt idx="1">
                  <c:v>37000</c:v>
                </c:pt>
                <c:pt idx="2">
                  <c:v>45000</c:v>
                </c:pt>
                <c:pt idx="3">
                  <c:v>53000</c:v>
                </c:pt>
                <c:pt idx="4">
                  <c:v>62000</c:v>
                </c:pt>
                <c:pt idx="5">
                  <c:v>68000</c:v>
                </c:pt>
                <c:pt idx="6">
                  <c:v>77000</c:v>
                </c:pt>
                <c:pt idx="7">
                  <c:v>87000</c:v>
                </c:pt>
                <c:pt idx="8">
                  <c:v>95000</c:v>
                </c:pt>
                <c:pt idx="9">
                  <c:v>103000</c:v>
                </c:pt>
                <c:pt idx="10">
                  <c:v>115000</c:v>
                </c:pt>
                <c:pt idx="11">
                  <c:v>128000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772771"/>
        <c:axId val="161308968"/>
      </c:lineChart>
      <c:catAx>
        <c:axId val="9027727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308968"/>
        <c:crosses val="autoZero"/>
        <c:auto val="1"/>
        <c:lblAlgn val="ctr"/>
        <c:lblOffset val="100"/>
        <c:noMultiLvlLbl val="0"/>
      </c:catAx>
      <c:valAx>
        <c:axId val="16130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7727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4f88a1-d171-4a3c-b62b-bec2f62199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Active Cusrtomer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pivot!$K$18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pivot!$J$19:$J$31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pivot!$K$19:$K$31</c:f>
              <c:numCache>
                <c:formatCode>General</c:formatCode>
                <c:ptCount val="12"/>
                <c:pt idx="0">
                  <c:v>500</c:v>
                </c:pt>
                <c:pt idx="1">
                  <c:v>615</c:v>
                </c:pt>
                <c:pt idx="2">
                  <c:v>742</c:v>
                </c:pt>
                <c:pt idx="3">
                  <c:v>880</c:v>
                </c:pt>
                <c:pt idx="4">
                  <c:v>1030</c:v>
                </c:pt>
                <c:pt idx="5">
                  <c:v>1187</c:v>
                </c:pt>
                <c:pt idx="6">
                  <c:v>1352</c:v>
                </c:pt>
                <c:pt idx="7">
                  <c:v>1523</c:v>
                </c:pt>
                <c:pt idx="8">
                  <c:v>1702</c:v>
                </c:pt>
                <c:pt idx="9">
                  <c:v>1889</c:v>
                </c:pt>
                <c:pt idx="10">
                  <c:v>2082</c:v>
                </c:pt>
                <c:pt idx="11">
                  <c:v>2287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89199"/>
        <c:axId val="369907489"/>
      </c:lineChart>
      <c:catAx>
        <c:axId val="792389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907489"/>
        <c:crosses val="autoZero"/>
        <c:auto val="1"/>
        <c:lblAlgn val="ctr"/>
        <c:lblOffset val="100"/>
        <c:noMultiLvlLbl val="0"/>
      </c:catAx>
      <c:valAx>
        <c:axId val="3699074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3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1f41ab-9d31-43b3-a3a9-f34f207f9c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[Startup_Financial_KPI_Dataset.xlsx]pivot!PivotTable5</c:name>
    <c:fmtId val="2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pivot!$D$33</c:f>
              <c:strCache>
                <c:ptCount val="1"/>
                <c:pt idx="0">
                  <c:v>Sum of LTV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pivot!$C$34:$C$46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pivot!$D$34:$D$46</c:f>
              <c:numCache>
                <c:formatCode>General</c:formatCode>
                <c:ptCount val="12"/>
                <c:pt idx="0">
                  <c:v>1920</c:v>
                </c:pt>
                <c:pt idx="1">
                  <c:v>1756.09756097561</c:v>
                </c:pt>
                <c:pt idx="2">
                  <c:v>1584.90566037736</c:v>
                </c:pt>
                <c:pt idx="3">
                  <c:v>1472.72727272727</c:v>
                </c:pt>
                <c:pt idx="4">
                  <c:v>1398.05825242718</c:v>
                </c:pt>
                <c:pt idx="5">
                  <c:v>1334.45661331087</c:v>
                </c:pt>
                <c:pt idx="6">
                  <c:v>1286.98224852071</c:v>
                </c:pt>
                <c:pt idx="7">
                  <c:v>1244.91135915955</c:v>
                </c:pt>
                <c:pt idx="8">
                  <c:v>1205.64042303173</c:v>
                </c:pt>
                <c:pt idx="9">
                  <c:v>1168.87241926945</c:v>
                </c:pt>
                <c:pt idx="10">
                  <c:v>1141.21037463977</c:v>
                </c:pt>
                <c:pt idx="11">
                  <c:v>1128.11543506777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pivot!$E$33</c:f>
              <c:strCache>
                <c:ptCount val="1"/>
                <c:pt idx="0">
                  <c:v>Sum of CAC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pivot!$C$34:$C$46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pivot!$E$34:$E$46</c:f>
              <c:numCache>
                <c:formatCode>General</c:formatCode>
                <c:ptCount val="12"/>
                <c:pt idx="0">
                  <c:v>125</c:v>
                </c:pt>
                <c:pt idx="1">
                  <c:v>118.518518518519</c:v>
                </c:pt>
                <c:pt idx="2">
                  <c:v>124.137931034483</c:v>
                </c:pt>
                <c:pt idx="3">
                  <c:v>118.75</c:v>
                </c:pt>
                <c:pt idx="4">
                  <c:v>120</c:v>
                </c:pt>
                <c:pt idx="5">
                  <c:v>118.918918918919</c:v>
                </c:pt>
                <c:pt idx="6">
                  <c:v>123.076923076923</c:v>
                </c:pt>
                <c:pt idx="7">
                  <c:v>121.951219512195</c:v>
                </c:pt>
                <c:pt idx="8">
                  <c:v>120.93023255814</c:v>
                </c:pt>
                <c:pt idx="9">
                  <c:v>124.444444444444</c:v>
                </c:pt>
                <c:pt idx="10">
                  <c:v>123.404255319149</c:v>
                </c:pt>
                <c:pt idx="11">
                  <c:v>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418526"/>
        <c:axId val="686601244"/>
      </c:lineChart>
      <c:catAx>
        <c:axId val="3624185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601244"/>
        <c:crosses val="autoZero"/>
        <c:auto val="1"/>
        <c:lblAlgn val="ctr"/>
        <c:lblOffset val="100"/>
        <c:noMultiLvlLbl val="0"/>
      </c:catAx>
      <c:valAx>
        <c:axId val="6866012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4185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c13a7b2-7b59-4512-a812-a740b11b5a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2</xdr:row>
      <xdr:rowOff>24765</xdr:rowOff>
    </xdr:from>
    <xdr:to>
      <xdr:col>8</xdr:col>
      <xdr:colOff>489585</xdr:colOff>
      <xdr:row>15</xdr:row>
      <xdr:rowOff>187960</xdr:rowOff>
    </xdr:to>
    <xdr:graphicFrame>
      <xdr:nvGraphicFramePr>
        <xdr:cNvPr id="2" name="Chart 1"/>
        <xdr:cNvGraphicFramePr/>
      </xdr:nvGraphicFramePr>
      <xdr:xfrm>
        <a:off x="1778000" y="405765"/>
        <a:ext cx="4779010" cy="2639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85090</xdr:colOff>
      <xdr:row>2</xdr:row>
      <xdr:rowOff>6350</xdr:rowOff>
    </xdr:from>
    <xdr:to>
      <xdr:col>17</xdr:col>
      <xdr:colOff>301625</xdr:colOff>
      <xdr:row>15</xdr:row>
      <xdr:rowOff>168275</xdr:rowOff>
    </xdr:to>
    <xdr:graphicFrame>
      <xdr:nvGraphicFramePr>
        <xdr:cNvPr id="3" name="Chart 2"/>
        <xdr:cNvGraphicFramePr/>
      </xdr:nvGraphicFramePr>
      <xdr:xfrm>
        <a:off x="9295765" y="387350"/>
        <a:ext cx="3874135" cy="2638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53975</xdr:colOff>
      <xdr:row>17</xdr:row>
      <xdr:rowOff>35560</xdr:rowOff>
    </xdr:from>
    <xdr:to>
      <xdr:col>8</xdr:col>
      <xdr:colOff>498475</xdr:colOff>
      <xdr:row>30</xdr:row>
      <xdr:rowOff>177800</xdr:rowOff>
    </xdr:to>
    <xdr:graphicFrame>
      <xdr:nvGraphicFramePr>
        <xdr:cNvPr id="4" name="Chart 3"/>
        <xdr:cNvGraphicFramePr/>
      </xdr:nvGraphicFramePr>
      <xdr:xfrm>
        <a:off x="1768475" y="3274060"/>
        <a:ext cx="4797425" cy="2618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91440</xdr:colOff>
      <xdr:row>17</xdr:row>
      <xdr:rowOff>25400</xdr:rowOff>
    </xdr:from>
    <xdr:to>
      <xdr:col>17</xdr:col>
      <xdr:colOff>288925</xdr:colOff>
      <xdr:row>30</xdr:row>
      <xdr:rowOff>177800</xdr:rowOff>
    </xdr:to>
    <xdr:graphicFrame>
      <xdr:nvGraphicFramePr>
        <xdr:cNvPr id="5" name="Chart 4"/>
        <xdr:cNvGraphicFramePr/>
      </xdr:nvGraphicFramePr>
      <xdr:xfrm>
        <a:off x="9302115" y="3263900"/>
        <a:ext cx="385508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158750</xdr:colOff>
      <xdr:row>32</xdr:row>
      <xdr:rowOff>53975</xdr:rowOff>
    </xdr:from>
    <xdr:to>
      <xdr:col>11</xdr:col>
      <xdr:colOff>12700</xdr:colOff>
      <xdr:row>46</xdr:row>
      <xdr:rowOff>6985</xdr:rowOff>
    </xdr:to>
    <xdr:graphicFrame>
      <xdr:nvGraphicFramePr>
        <xdr:cNvPr id="7" name="Chart 6"/>
        <xdr:cNvGraphicFramePr/>
      </xdr:nvGraphicFramePr>
      <xdr:xfrm>
        <a:off x="4397375" y="6149975"/>
        <a:ext cx="4826000" cy="2620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18415</xdr:rowOff>
    </xdr:from>
    <xdr:to>
      <xdr:col>3</xdr:col>
      <xdr:colOff>493395</xdr:colOff>
      <xdr:row>18</xdr:row>
      <xdr:rowOff>181610</xdr:rowOff>
    </xdr:to>
    <xdr:graphicFrame>
      <xdr:nvGraphicFramePr>
        <xdr:cNvPr id="2" name="Chart 1"/>
        <xdr:cNvGraphicFramePr/>
      </xdr:nvGraphicFramePr>
      <xdr:xfrm>
        <a:off x="9525" y="970915"/>
        <a:ext cx="3112770" cy="2639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183515</xdr:colOff>
      <xdr:row>5</xdr:row>
      <xdr:rowOff>19050</xdr:rowOff>
    </xdr:from>
    <xdr:to>
      <xdr:col>7</xdr:col>
      <xdr:colOff>827405</xdr:colOff>
      <xdr:row>19</xdr:row>
      <xdr:rowOff>19050</xdr:rowOff>
    </xdr:to>
    <xdr:graphicFrame>
      <xdr:nvGraphicFramePr>
        <xdr:cNvPr id="3" name="Chart 2"/>
        <xdr:cNvGraphicFramePr/>
      </xdr:nvGraphicFramePr>
      <xdr:xfrm>
        <a:off x="3460115" y="971550"/>
        <a:ext cx="289179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20</xdr:row>
      <xdr:rowOff>29210</xdr:rowOff>
    </xdr:from>
    <xdr:to>
      <xdr:col>4</xdr:col>
      <xdr:colOff>11430</xdr:colOff>
      <xdr:row>33</xdr:row>
      <xdr:rowOff>171450</xdr:rowOff>
    </xdr:to>
    <xdr:graphicFrame>
      <xdr:nvGraphicFramePr>
        <xdr:cNvPr id="4" name="Chart 3"/>
        <xdr:cNvGraphicFramePr/>
      </xdr:nvGraphicFramePr>
      <xdr:xfrm>
        <a:off x="9525" y="3839210"/>
        <a:ext cx="3278505" cy="2618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132715</xdr:colOff>
      <xdr:row>4</xdr:row>
      <xdr:rowOff>171450</xdr:rowOff>
    </xdr:from>
    <xdr:to>
      <xdr:col>11</xdr:col>
      <xdr:colOff>593090</xdr:colOff>
      <xdr:row>18</xdr:row>
      <xdr:rowOff>180340</xdr:rowOff>
    </xdr:to>
    <xdr:graphicFrame>
      <xdr:nvGraphicFramePr>
        <xdr:cNvPr id="5" name="Chart 4"/>
        <xdr:cNvGraphicFramePr/>
      </xdr:nvGraphicFramePr>
      <xdr:xfrm>
        <a:off x="6514465" y="933450"/>
        <a:ext cx="2727325" cy="2675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190500</xdr:colOff>
      <xdr:row>20</xdr:row>
      <xdr:rowOff>19050</xdr:rowOff>
    </xdr:from>
    <xdr:to>
      <xdr:col>8</xdr:col>
      <xdr:colOff>392430</xdr:colOff>
      <xdr:row>33</xdr:row>
      <xdr:rowOff>161925</xdr:rowOff>
    </xdr:to>
    <xdr:graphicFrame>
      <xdr:nvGraphicFramePr>
        <xdr:cNvPr id="6" name="Chart 5"/>
        <xdr:cNvGraphicFramePr/>
      </xdr:nvGraphicFramePr>
      <xdr:xfrm>
        <a:off x="3467100" y="3829050"/>
        <a:ext cx="3307080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3.6462268519" refreshedBy="jhasu" recordCount="12">
  <cacheSource type="worksheet">
    <worksheetSource name="Financial_Data"/>
  </cacheSource>
  <cacheFields count="15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venue" numFmtId="0">
      <sharedItems containsSemiMixedTypes="0" containsString="0" containsNumber="1" containsInteger="1" minValue="120000" maxValue="310000" count="12">
        <n v="120000"/>
        <n v="135000"/>
        <n v="150000"/>
        <n v="165000"/>
        <n v="182000"/>
        <n v="198000"/>
        <n v="215000"/>
        <n v="232000"/>
        <n v="248000"/>
        <n v="265000"/>
        <n v="285000"/>
        <n v="310000"/>
      </sharedItems>
    </cacheField>
    <cacheField name="Expenses" numFmtId="0">
      <sharedItems containsSemiMixedTypes="0" containsString="0" containsNumber="1" containsInteger="1" minValue="95000" maxValue="182000" count="12">
        <n v="95000"/>
        <n v="98000"/>
        <n v="105000"/>
        <n v="112000"/>
        <n v="120000"/>
        <n v="130000"/>
        <n v="138000"/>
        <n v="145000"/>
        <n v="153000"/>
        <n v="162000"/>
        <n v="170000"/>
        <n v="182000"/>
      </sharedItems>
    </cacheField>
    <cacheField name="Marketing_Cost" numFmtId="0">
      <sharedItems containsSemiMixedTypes="0" containsString="0" containsNumber="1" containsInteger="1" minValue="15000" maxValue="31000" count="12">
        <n v="15000"/>
        <n v="16000"/>
        <n v="18000"/>
        <n v="19000"/>
        <n v="21000"/>
        <n v="22000"/>
        <n v="24000"/>
        <n v="25000"/>
        <n v="26000"/>
        <n v="28000"/>
        <n v="29000"/>
        <n v="31000"/>
      </sharedItems>
    </cacheField>
    <cacheField name="New_Customers" numFmtId="0">
      <sharedItems containsSemiMixedTypes="0" containsString="0" containsNumber="1" containsInteger="1" minValue="120" maxValue="250" count="12">
        <n v="120"/>
        <n v="135"/>
        <n v="145"/>
        <n v="160"/>
        <n v="175"/>
        <n v="185"/>
        <n v="195"/>
        <n v="205"/>
        <n v="215"/>
        <n v="225"/>
        <n v="235"/>
        <n v="250"/>
      </sharedItems>
    </cacheField>
    <cacheField name="Active_Customers" numFmtId="0">
      <sharedItems containsSemiMixedTypes="0" containsString="0" containsNumber="1" containsInteger="1" minValue="500" maxValue="2287" count="12">
        <n v="500"/>
        <n v="615"/>
        <n v="742"/>
        <n v="880"/>
        <n v="1030"/>
        <n v="1187"/>
        <n v="1352"/>
        <n v="1523"/>
        <n v="1702"/>
        <n v="1889"/>
        <n v="2082"/>
        <n v="2287"/>
      </sharedItems>
    </cacheField>
    <cacheField name="Churn_Customers" numFmtId="0">
      <sharedItems containsSemiMixedTypes="0" containsString="0" containsNumber="1" containsInteger="1" minValue="18" maxValue="48" count="12">
        <n v="20"/>
        <n v="18"/>
        <n v="22"/>
        <n v="25"/>
        <n v="28"/>
        <n v="30"/>
        <n v="34"/>
        <n v="36"/>
        <n v="38"/>
        <n v="42"/>
        <n v="45"/>
        <n v="48"/>
      </sharedItems>
    </cacheField>
    <cacheField name="Subscription_Revenue" numFmtId="0">
      <sharedItems containsSemiMixedTypes="0" containsString="0" containsNumber="1" containsInteger="1" minValue="80000" maxValue="215000" count="12">
        <n v="80000"/>
        <n v="90000"/>
        <n v="98000"/>
        <n v="108000"/>
        <n v="120000"/>
        <n v="132000"/>
        <n v="145000"/>
        <n v="158000"/>
        <n v="171000"/>
        <n v="184000"/>
        <n v="198000"/>
        <n v="215000"/>
      </sharedItems>
    </cacheField>
    <cacheField name="Operating_Cost" numFmtId="0">
      <sharedItems containsSemiMixedTypes="0" containsString="0" containsNumber="1" containsInteger="1" minValue="60000" maxValue="95000" count="12">
        <n v="60000"/>
        <n v="62000"/>
        <n v="65000"/>
        <n v="68000"/>
        <n v="71000"/>
        <n v="74000"/>
        <n v="77000"/>
        <n v="80000"/>
        <n v="83000"/>
        <n v="86000"/>
        <n v="90000"/>
        <n v="95000"/>
      </sharedItems>
    </cacheField>
    <cacheField name="Profit" numFmtId="0">
      <sharedItems containsSemiMixedTypes="0" containsString="0" containsNumber="1" containsInteger="1" minValue="25000" maxValue="128000" count="12">
        <n v="25000"/>
        <n v="37000"/>
        <n v="45000"/>
        <n v="53000"/>
        <n v="62000"/>
        <n v="68000"/>
        <n v="77000"/>
        <n v="87000"/>
        <n v="95000"/>
        <n v="103000"/>
        <n v="115000"/>
        <n v="128000"/>
      </sharedItems>
    </cacheField>
    <cacheField name="Profit Margin %" numFmtId="180">
      <sharedItems containsSemiMixedTypes="0" containsString="0" containsNumber="1" minValue="20.8333333333333" maxValue="41.2903225806452" count="12">
        <n v="20.8333333333333"/>
        <n v="27.4074074074074"/>
        <n v="30"/>
        <n v="32.1212121212121"/>
        <n v="34.0659340659341"/>
        <n v="34.3434343434343"/>
        <n v="35.8139534883721"/>
        <n v="37.5"/>
        <n v="38.3064516129032"/>
        <n v="38.8679245283019"/>
        <n v="40.3508771929825"/>
        <n v="41.2903225806452"/>
      </sharedItems>
    </cacheField>
    <cacheField name="CAC" numFmtId="0">
      <sharedItems containsSemiMixedTypes="0" containsString="0" containsNumber="1" minValue="118.518518518519" maxValue="125" count="12">
        <n v="125"/>
        <n v="118.518518518519"/>
        <n v="124.137931034483"/>
        <n v="118.75"/>
        <n v="120"/>
        <n v="118.918918918919"/>
        <n v="123.076923076923"/>
        <n v="121.951219512195"/>
        <n v="120.93023255814"/>
        <n v="124.444444444444"/>
        <n v="123.404255319149"/>
        <n v="124"/>
      </sharedItems>
    </cacheField>
    <cacheField name="LTV" numFmtId="0">
      <sharedItems containsSemiMixedTypes="0" containsString="0" containsNumber="1" minValue="1128.11543506777" maxValue="1920" count="12">
        <n v="1920"/>
        <n v="1756.09756097561"/>
        <n v="1584.90566037736"/>
        <n v="1472.72727272727"/>
        <n v="1398.05825242718"/>
        <n v="1334.45661331087"/>
        <n v="1286.98224852071"/>
        <n v="1244.91135915955"/>
        <n v="1205.64042303173"/>
        <n v="1168.87241926945"/>
        <n v="1141.21037463977"/>
        <n v="1128.11543506777"/>
      </sharedItems>
    </cacheField>
    <cacheField name="LTV:CAC Ratio" numFmtId="0">
      <sharedItems containsSemiMixedTypes="0" containsString="0" containsNumber="1" minValue="9.09770512151431" maxValue="15.36" count="12">
        <n v="15.36"/>
        <n v="14.8170731707317"/>
        <n v="12.7672955974843"/>
        <n v="12.4019138755981"/>
        <n v="11.6504854368932"/>
        <n v="11.2215669755687"/>
        <n v="10.4567307692308"/>
        <n v="10.2082731451083"/>
        <n v="9.96971888276236"/>
        <n v="9.39272479770098"/>
        <n v="9.24773924277055"/>
        <n v="9.09770512151431"/>
      </sharedItems>
    </cacheField>
    <cacheField name="Burn Rate" numFmtId="0">
      <sharedItems containsSemiMixedTypes="0" containsString="0" containsNumber="1" containsInteger="1" minValue="25000" maxValue="128000" count="12">
        <n v="25000"/>
        <n v="37000"/>
        <n v="45000"/>
        <n v="53000"/>
        <n v="62000"/>
        <n v="68000"/>
        <n v="77000"/>
        <n v="87000"/>
        <n v="95000"/>
        <n v="103000"/>
        <n v="115000"/>
        <n v="128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  <x v="6"/>
    <x v="6"/>
    <x v="6"/>
    <x v="6"/>
    <x v="6"/>
    <x v="6"/>
  </r>
  <r>
    <x v="7"/>
    <x v="7"/>
    <x v="7"/>
    <x v="7"/>
    <x v="7"/>
    <x v="7"/>
    <x v="7"/>
    <x v="7"/>
    <x v="7"/>
    <x v="7"/>
    <x v="7"/>
    <x v="7"/>
    <x v="7"/>
    <x v="7"/>
    <x v="7"/>
  </r>
  <r>
    <x v="8"/>
    <x v="8"/>
    <x v="8"/>
    <x v="8"/>
    <x v="8"/>
    <x v="8"/>
    <x v="8"/>
    <x v="8"/>
    <x v="8"/>
    <x v="8"/>
    <x v="8"/>
    <x v="8"/>
    <x v="8"/>
    <x v="8"/>
    <x v="8"/>
  </r>
  <r>
    <x v="9"/>
    <x v="9"/>
    <x v="9"/>
    <x v="9"/>
    <x v="9"/>
    <x v="9"/>
    <x v="9"/>
    <x v="9"/>
    <x v="9"/>
    <x v="9"/>
    <x v="9"/>
    <x v="9"/>
    <x v="9"/>
    <x v="9"/>
    <x v="9"/>
  </r>
  <r>
    <x v="10"/>
    <x v="10"/>
    <x v="10"/>
    <x v="10"/>
    <x v="10"/>
    <x v="10"/>
    <x v="10"/>
    <x v="10"/>
    <x v="10"/>
    <x v="10"/>
    <x v="10"/>
    <x v="10"/>
    <x v="10"/>
    <x v="10"/>
    <x v="10"/>
  </r>
  <r>
    <x v="11"/>
    <x v="11"/>
    <x v="11"/>
    <x v="11"/>
    <x v="11"/>
    <x v="11"/>
    <x v="11"/>
    <x v="11"/>
    <x v="11"/>
    <x v="11"/>
    <x v="11"/>
    <x v="11"/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5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8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3:K16" firstHeaderRow="1" firstDataRow="1" firstDataCol="1"/>
  <pivotFields count="15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8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xpens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:B31" firstHeaderRow="1" firstDataRow="1" firstDataCol="1"/>
  <pivotFields count="15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8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18:K31" firstHeaderRow="1" firstDataRow="1" firstDataCol="1"/>
  <pivotFields count="15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8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ctive_Customer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33:E46" firstHeaderRow="0" firstDataRow="1" firstDataCol="1"/>
  <pivotFields count="15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8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TV" fld="12" baseField="0" baseItem="0"/>
    <dataField name="Sum of CAC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inancial_Data" displayName="Financial_Data" ref="A1:O13" totalsRowShown="0">
  <autoFilter xmlns:etc="http://www.wps.cn/officeDocument/2017/etCustomData" ref="A1:O13" etc:filterBottomFollowUsedRange="0"/>
  <tableColumns count="15">
    <tableColumn id="1" name="Month"/>
    <tableColumn id="2" name="Revenue"/>
    <tableColumn id="3" name="Expenses"/>
    <tableColumn id="4" name="Marketing_Cost"/>
    <tableColumn id="5" name="New_Customers"/>
    <tableColumn id="6" name="Active_Customers"/>
    <tableColumn id="7" name="Churn_Customers"/>
    <tableColumn id="8" name="Subscription_Revenue"/>
    <tableColumn id="9" name="Operating_Cost"/>
    <tableColumn id="10" name="Profit" dataDxfId="0">
      <calculatedColumnFormula>Financial_Data[[#This Row],[Revenue]]-Financial_Data[[#This Row],[Expenses]]</calculatedColumnFormula>
    </tableColumn>
    <tableColumn id="11" name="Profit Margin %" dataDxfId="1">
      <calculatedColumnFormula>Financial_Data[[#This Row],[Profit]]/Financial_Data[[#This Row],[Revenue]]*100</calculatedColumnFormula>
    </tableColumn>
    <tableColumn id="12" name="CAC" dataDxfId="2">
      <calculatedColumnFormula>Financial_Data[[#This Row],[Marketing_Cost]]/Financial_Data[[#This Row],[New_Customers]]</calculatedColumnFormula>
    </tableColumn>
    <tableColumn id="13" name="LTV" dataDxfId="3">
      <calculatedColumnFormula>(Financial_Data[[#This Row],[Subscription_Revenue]]/Financial_Data[[#This Row],[Active_Customers]])*12</calculatedColumnFormula>
    </tableColumn>
    <tableColumn id="14" name="LTV:CAC Ratio" dataDxfId="4">
      <calculatedColumnFormula>Financial_Data[[#This Row],[LTV]]/Financial_Data[[#This Row],[CAC]]</calculatedColumnFormula>
    </tableColumn>
    <tableColumn id="15" name="Burn Rate" dataDxfId="5">
      <calculatedColumnFormula>ABS(Financial_Data[[#This Row],[Expenses]]-Financial_Data[[#This Row],[Revenue]])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46"/>
  <sheetViews>
    <sheetView workbookViewId="0">
      <selection activeCell="L42" sqref="L42"/>
    </sheetView>
  </sheetViews>
  <sheetFormatPr defaultColWidth="9.14285714285714" defaultRowHeight="15"/>
  <cols>
    <col min="1" max="1" width="12.1428571428571"/>
    <col min="2" max="2" width="13.5714285714286"/>
    <col min="3" max="3" width="12.1428571428571"/>
    <col min="4" max="5" width="12.8571428571429"/>
    <col min="10" max="10" width="12.1428571428571"/>
    <col min="11" max="11" width="25.8571428571429"/>
  </cols>
  <sheetData>
    <row r="3" spans="1:11">
      <c r="A3" t="s">
        <v>0</v>
      </c>
      <c r="B3" t="s">
        <v>1</v>
      </c>
      <c r="C3"/>
      <c r="J3" t="s">
        <v>0</v>
      </c>
      <c r="K3" t="s">
        <v>2</v>
      </c>
    </row>
    <row r="4" spans="1:11">
      <c r="A4" t="s">
        <v>3</v>
      </c>
      <c r="B4">
        <v>120000</v>
      </c>
      <c r="C4"/>
      <c r="J4" t="s">
        <v>3</v>
      </c>
      <c r="K4">
        <v>95000</v>
      </c>
    </row>
    <row r="5" spans="1:11">
      <c r="A5" t="s">
        <v>4</v>
      </c>
      <c r="B5">
        <v>135000</v>
      </c>
      <c r="C5"/>
      <c r="J5" t="s">
        <v>4</v>
      </c>
      <c r="K5">
        <v>98000</v>
      </c>
    </row>
    <row r="6" spans="1:11">
      <c r="A6" t="s">
        <v>5</v>
      </c>
      <c r="B6">
        <v>150000</v>
      </c>
      <c r="C6"/>
      <c r="J6" t="s">
        <v>5</v>
      </c>
      <c r="K6">
        <v>105000</v>
      </c>
    </row>
    <row r="7" spans="1:11">
      <c r="A7" t="s">
        <v>6</v>
      </c>
      <c r="B7">
        <v>165000</v>
      </c>
      <c r="C7"/>
      <c r="J7" t="s">
        <v>6</v>
      </c>
      <c r="K7">
        <v>112000</v>
      </c>
    </row>
    <row r="8" spans="1:11">
      <c r="A8" t="s">
        <v>7</v>
      </c>
      <c r="B8">
        <v>182000</v>
      </c>
      <c r="C8"/>
      <c r="J8" t="s">
        <v>7</v>
      </c>
      <c r="K8">
        <v>120000</v>
      </c>
    </row>
    <row r="9" spans="1:11">
      <c r="A9" t="s">
        <v>8</v>
      </c>
      <c r="B9">
        <v>198000</v>
      </c>
      <c r="C9"/>
      <c r="J9" t="s">
        <v>8</v>
      </c>
      <c r="K9">
        <v>130000</v>
      </c>
    </row>
    <row r="10" spans="1:11">
      <c r="A10" t="s">
        <v>9</v>
      </c>
      <c r="B10">
        <v>215000</v>
      </c>
      <c r="C10"/>
      <c r="J10" t="s">
        <v>9</v>
      </c>
      <c r="K10">
        <v>138000</v>
      </c>
    </row>
    <row r="11" spans="1:11">
      <c r="A11" t="s">
        <v>10</v>
      </c>
      <c r="B11">
        <v>232000</v>
      </c>
      <c r="C11"/>
      <c r="J11" t="s">
        <v>10</v>
      </c>
      <c r="K11">
        <v>145000</v>
      </c>
    </row>
    <row r="12" spans="1:11">
      <c r="A12" t="s">
        <v>11</v>
      </c>
      <c r="B12">
        <v>248000</v>
      </c>
      <c r="C12"/>
      <c r="J12" t="s">
        <v>11</v>
      </c>
      <c r="K12">
        <v>153000</v>
      </c>
    </row>
    <row r="13" spans="1:11">
      <c r="A13" t="s">
        <v>12</v>
      </c>
      <c r="B13">
        <v>265000</v>
      </c>
      <c r="C13"/>
      <c r="J13" t="s">
        <v>12</v>
      </c>
      <c r="K13">
        <v>162000</v>
      </c>
    </row>
    <row r="14" spans="1:11">
      <c r="A14" t="s">
        <v>13</v>
      </c>
      <c r="B14">
        <v>285000</v>
      </c>
      <c r="C14"/>
      <c r="J14" t="s">
        <v>13</v>
      </c>
      <c r="K14">
        <v>170000</v>
      </c>
    </row>
    <row r="15" spans="1:11">
      <c r="A15" t="s">
        <v>14</v>
      </c>
      <c r="B15">
        <v>310000</v>
      </c>
      <c r="C15"/>
      <c r="J15" t="s">
        <v>14</v>
      </c>
      <c r="K15">
        <v>182000</v>
      </c>
    </row>
    <row r="16" spans="1:11">
      <c r="A16" t="s">
        <v>15</v>
      </c>
      <c r="B16">
        <v>2505000</v>
      </c>
      <c r="C16"/>
      <c r="J16" t="s">
        <v>15</v>
      </c>
      <c r="K16">
        <v>1610000</v>
      </c>
    </row>
    <row r="18" spans="1:11">
      <c r="A18" t="s">
        <v>0</v>
      </c>
      <c r="B18" t="s">
        <v>16</v>
      </c>
      <c r="C18"/>
      <c r="J18" t="s">
        <v>0</v>
      </c>
      <c r="K18" t="s">
        <v>17</v>
      </c>
    </row>
    <row r="19" spans="1:11">
      <c r="A19" t="s">
        <v>3</v>
      </c>
      <c r="B19">
        <v>25000</v>
      </c>
      <c r="C19"/>
      <c r="J19" t="s">
        <v>3</v>
      </c>
      <c r="K19">
        <v>500</v>
      </c>
    </row>
    <row r="20" spans="1:11">
      <c r="A20" t="s">
        <v>4</v>
      </c>
      <c r="B20">
        <v>37000</v>
      </c>
      <c r="C20"/>
      <c r="J20" t="s">
        <v>4</v>
      </c>
      <c r="K20">
        <v>615</v>
      </c>
    </row>
    <row r="21" spans="1:11">
      <c r="A21" t="s">
        <v>5</v>
      </c>
      <c r="B21">
        <v>45000</v>
      </c>
      <c r="J21" t="s">
        <v>5</v>
      </c>
      <c r="K21">
        <v>742</v>
      </c>
    </row>
    <row r="22" spans="1:11">
      <c r="A22" t="s">
        <v>6</v>
      </c>
      <c r="B22">
        <v>53000</v>
      </c>
      <c r="J22" t="s">
        <v>6</v>
      </c>
      <c r="K22">
        <v>880</v>
      </c>
    </row>
    <row r="23" spans="1:11">
      <c r="A23" t="s">
        <v>7</v>
      </c>
      <c r="B23">
        <v>62000</v>
      </c>
      <c r="J23" t="s">
        <v>7</v>
      </c>
      <c r="K23">
        <v>1030</v>
      </c>
    </row>
    <row r="24" spans="1:11">
      <c r="A24" t="s">
        <v>8</v>
      </c>
      <c r="B24">
        <v>68000</v>
      </c>
      <c r="J24" t="s">
        <v>8</v>
      </c>
      <c r="K24">
        <v>1187</v>
      </c>
    </row>
    <row r="25" spans="1:11">
      <c r="A25" t="s">
        <v>9</v>
      </c>
      <c r="B25">
        <v>77000</v>
      </c>
      <c r="J25" t="s">
        <v>9</v>
      </c>
      <c r="K25">
        <v>1352</v>
      </c>
    </row>
    <row r="26" spans="1:11">
      <c r="A26" t="s">
        <v>10</v>
      </c>
      <c r="B26">
        <v>87000</v>
      </c>
      <c r="J26" t="s">
        <v>10</v>
      </c>
      <c r="K26">
        <v>1523</v>
      </c>
    </row>
    <row r="27" spans="1:11">
      <c r="A27" t="s">
        <v>11</v>
      </c>
      <c r="B27">
        <v>95000</v>
      </c>
      <c r="J27" t="s">
        <v>11</v>
      </c>
      <c r="K27">
        <v>1702</v>
      </c>
    </row>
    <row r="28" spans="1:11">
      <c r="A28" t="s">
        <v>12</v>
      </c>
      <c r="B28">
        <v>103000</v>
      </c>
      <c r="J28" t="s">
        <v>12</v>
      </c>
      <c r="K28">
        <v>1889</v>
      </c>
    </row>
    <row r="29" spans="1:11">
      <c r="A29" t="s">
        <v>13</v>
      </c>
      <c r="B29">
        <v>115000</v>
      </c>
      <c r="J29" t="s">
        <v>13</v>
      </c>
      <c r="K29">
        <v>2082</v>
      </c>
    </row>
    <row r="30" spans="1:11">
      <c r="A30" t="s">
        <v>14</v>
      </c>
      <c r="B30">
        <v>128000</v>
      </c>
      <c r="J30" t="s">
        <v>14</v>
      </c>
      <c r="K30">
        <v>2287</v>
      </c>
    </row>
    <row r="31" spans="1:11">
      <c r="A31" t="s">
        <v>15</v>
      </c>
      <c r="B31">
        <v>895000</v>
      </c>
      <c r="J31" t="s">
        <v>15</v>
      </c>
      <c r="K31">
        <v>15789</v>
      </c>
    </row>
    <row r="33" spans="3:5">
      <c r="C33" t="s">
        <v>0</v>
      </c>
      <c r="D33" t="s">
        <v>18</v>
      </c>
      <c r="E33" t="s">
        <v>19</v>
      </c>
    </row>
    <row r="34" spans="3:5">
      <c r="C34" t="s">
        <v>3</v>
      </c>
      <c r="D34">
        <v>1920</v>
      </c>
      <c r="E34">
        <v>125</v>
      </c>
    </row>
    <row r="35" spans="3:5">
      <c r="C35" t="s">
        <v>4</v>
      </c>
      <c r="D35">
        <v>1756.09756097561</v>
      </c>
      <c r="E35">
        <v>118.518518518519</v>
      </c>
    </row>
    <row r="36" spans="3:5">
      <c r="C36" t="s">
        <v>5</v>
      </c>
      <c r="D36">
        <v>1584.90566037736</v>
      </c>
      <c r="E36">
        <v>124.137931034483</v>
      </c>
    </row>
    <row r="37" spans="3:5">
      <c r="C37" t="s">
        <v>6</v>
      </c>
      <c r="D37">
        <v>1472.72727272727</v>
      </c>
      <c r="E37">
        <v>118.75</v>
      </c>
    </row>
    <row r="38" spans="3:5">
      <c r="C38" t="s">
        <v>7</v>
      </c>
      <c r="D38">
        <v>1398.05825242718</v>
      </c>
      <c r="E38">
        <v>120</v>
      </c>
    </row>
    <row r="39" spans="3:5">
      <c r="C39" t="s">
        <v>8</v>
      </c>
      <c r="D39">
        <v>1334.45661331087</v>
      </c>
      <c r="E39">
        <v>118.918918918919</v>
      </c>
    </row>
    <row r="40" spans="3:5">
      <c r="C40" t="s">
        <v>9</v>
      </c>
      <c r="D40">
        <v>1286.98224852071</v>
      </c>
      <c r="E40">
        <v>123.076923076923</v>
      </c>
    </row>
    <row r="41" spans="3:5">
      <c r="C41" t="s">
        <v>10</v>
      </c>
      <c r="D41">
        <v>1244.91135915955</v>
      </c>
      <c r="E41">
        <v>121.951219512195</v>
      </c>
    </row>
    <row r="42" spans="3:5">
      <c r="C42" t="s">
        <v>11</v>
      </c>
      <c r="D42">
        <v>1205.64042303173</v>
      </c>
      <c r="E42">
        <v>120.93023255814</v>
      </c>
    </row>
    <row r="43" spans="3:5">
      <c r="C43" t="s">
        <v>12</v>
      </c>
      <c r="D43">
        <v>1168.87241926945</v>
      </c>
      <c r="E43">
        <v>124.444444444444</v>
      </c>
    </row>
    <row r="44" spans="3:5">
      <c r="C44" t="s">
        <v>13</v>
      </c>
      <c r="D44">
        <v>1141.21037463977</v>
      </c>
      <c r="E44">
        <v>123.404255319149</v>
      </c>
    </row>
    <row r="45" spans="3:5">
      <c r="C45" t="s">
        <v>14</v>
      </c>
      <c r="D45">
        <v>1128.11543506777</v>
      </c>
      <c r="E45">
        <v>124</v>
      </c>
    </row>
    <row r="46" spans="3:5">
      <c r="C46" t="s">
        <v>15</v>
      </c>
      <c r="D46">
        <v>16641.9776195073</v>
      </c>
      <c r="E46">
        <v>1463.13244338277</v>
      </c>
    </row>
  </sheetData>
  <pageMargins left="0.75" right="0.75" top="1" bottom="1" header="0.5" footer="0.5"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:O13"/>
    </sheetView>
  </sheetViews>
  <sheetFormatPr defaultColWidth="9" defaultRowHeight="15"/>
  <cols>
    <col min="11" max="11" width="12.8571428571429" style="4"/>
    <col min="12" max="14" width="12.8571428571429"/>
  </cols>
  <sheetData>
    <row r="1" spans="1:1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s="5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>
      <c r="A2" t="s">
        <v>3</v>
      </c>
      <c r="B2">
        <v>120000</v>
      </c>
      <c r="C2">
        <v>95000</v>
      </c>
      <c r="D2">
        <v>15000</v>
      </c>
      <c r="E2">
        <v>120</v>
      </c>
      <c r="F2">
        <v>500</v>
      </c>
      <c r="G2">
        <v>20</v>
      </c>
      <c r="H2">
        <v>80000</v>
      </c>
      <c r="I2">
        <v>60000</v>
      </c>
      <c r="J2" s="6">
        <f>Financial_Data[[#This Row],[Revenue]]-Financial_Data[[#This Row],[Expenses]]</f>
        <v>25000</v>
      </c>
      <c r="K2" s="4">
        <f>Financial_Data[[#This Row],[Profit]]/Financial_Data[[#This Row],[Revenue]]*100</f>
        <v>20.8333333333333</v>
      </c>
      <c r="L2" s="6">
        <f>Financial_Data[[#This Row],[Marketing_Cost]]/Financial_Data[[#This Row],[New_Customers]]</f>
        <v>125</v>
      </c>
      <c r="M2" s="6">
        <f>(Financial_Data[[#This Row],[Subscription_Revenue]]/Financial_Data[[#This Row],[Active_Customers]])*12</f>
        <v>1920</v>
      </c>
      <c r="N2" s="6">
        <f>Financial_Data[[#This Row],[LTV]]/Financial_Data[[#This Row],[CAC]]</f>
        <v>15.36</v>
      </c>
      <c r="O2" s="6">
        <f>ABS(Financial_Data[[#This Row],[Expenses]]-Financial_Data[[#This Row],[Revenue]])</f>
        <v>25000</v>
      </c>
    </row>
    <row r="3" spans="1:15">
      <c r="A3" t="s">
        <v>4</v>
      </c>
      <c r="B3">
        <v>135000</v>
      </c>
      <c r="C3">
        <v>98000</v>
      </c>
      <c r="D3">
        <v>16000</v>
      </c>
      <c r="E3">
        <v>135</v>
      </c>
      <c r="F3">
        <v>615</v>
      </c>
      <c r="G3">
        <v>18</v>
      </c>
      <c r="H3">
        <v>90000</v>
      </c>
      <c r="I3">
        <v>62000</v>
      </c>
      <c r="J3" s="6">
        <f>Financial_Data[[#This Row],[Revenue]]-Financial_Data[[#This Row],[Expenses]]</f>
        <v>37000</v>
      </c>
      <c r="K3" s="4">
        <f>Financial_Data[[#This Row],[Profit]]/Financial_Data[[#This Row],[Revenue]]*100</f>
        <v>27.4074074074074</v>
      </c>
      <c r="L3" s="6">
        <f>Financial_Data[[#This Row],[Marketing_Cost]]/Financial_Data[[#This Row],[New_Customers]]</f>
        <v>118.518518518519</v>
      </c>
      <c r="M3" s="6">
        <f>(Financial_Data[[#This Row],[Subscription_Revenue]]/Financial_Data[[#This Row],[Active_Customers]])*12</f>
        <v>1756.09756097561</v>
      </c>
      <c r="N3" s="6">
        <f>Financial_Data[[#This Row],[LTV]]/Financial_Data[[#This Row],[CAC]]</f>
        <v>14.8170731707317</v>
      </c>
      <c r="O3" s="6">
        <f>ABS(Financial_Data[[#This Row],[Expenses]]-Financial_Data[[#This Row],[Revenue]])</f>
        <v>37000</v>
      </c>
    </row>
    <row r="4" spans="1:15">
      <c r="A4" t="s">
        <v>5</v>
      </c>
      <c r="B4">
        <v>150000</v>
      </c>
      <c r="C4">
        <v>105000</v>
      </c>
      <c r="D4">
        <v>18000</v>
      </c>
      <c r="E4">
        <v>145</v>
      </c>
      <c r="F4">
        <v>742</v>
      </c>
      <c r="G4">
        <v>22</v>
      </c>
      <c r="H4">
        <v>98000</v>
      </c>
      <c r="I4">
        <v>65000</v>
      </c>
      <c r="J4" s="6">
        <f>Financial_Data[[#This Row],[Revenue]]-Financial_Data[[#This Row],[Expenses]]</f>
        <v>45000</v>
      </c>
      <c r="K4" s="4">
        <f>Financial_Data[[#This Row],[Profit]]/Financial_Data[[#This Row],[Revenue]]*100</f>
        <v>30</v>
      </c>
      <c r="L4" s="6">
        <f>Financial_Data[[#This Row],[Marketing_Cost]]/Financial_Data[[#This Row],[New_Customers]]</f>
        <v>124.137931034483</v>
      </c>
      <c r="M4" s="6">
        <f>(Financial_Data[[#This Row],[Subscription_Revenue]]/Financial_Data[[#This Row],[Active_Customers]])*12</f>
        <v>1584.90566037736</v>
      </c>
      <c r="N4" s="6">
        <f>Financial_Data[[#This Row],[LTV]]/Financial_Data[[#This Row],[CAC]]</f>
        <v>12.7672955974843</v>
      </c>
      <c r="O4" s="6">
        <f>ABS(Financial_Data[[#This Row],[Expenses]]-Financial_Data[[#This Row],[Revenue]])</f>
        <v>45000</v>
      </c>
    </row>
    <row r="5" spans="1:15">
      <c r="A5" t="s">
        <v>6</v>
      </c>
      <c r="B5">
        <v>165000</v>
      </c>
      <c r="C5">
        <v>112000</v>
      </c>
      <c r="D5">
        <v>19000</v>
      </c>
      <c r="E5">
        <v>160</v>
      </c>
      <c r="F5">
        <v>880</v>
      </c>
      <c r="G5">
        <v>25</v>
      </c>
      <c r="H5">
        <v>108000</v>
      </c>
      <c r="I5">
        <v>68000</v>
      </c>
      <c r="J5" s="6">
        <f>Financial_Data[[#This Row],[Revenue]]-Financial_Data[[#This Row],[Expenses]]</f>
        <v>53000</v>
      </c>
      <c r="K5" s="4">
        <f>Financial_Data[[#This Row],[Profit]]/Financial_Data[[#This Row],[Revenue]]*100</f>
        <v>32.1212121212121</v>
      </c>
      <c r="L5" s="6">
        <f>Financial_Data[[#This Row],[Marketing_Cost]]/Financial_Data[[#This Row],[New_Customers]]</f>
        <v>118.75</v>
      </c>
      <c r="M5" s="6">
        <f>(Financial_Data[[#This Row],[Subscription_Revenue]]/Financial_Data[[#This Row],[Active_Customers]])*12</f>
        <v>1472.72727272727</v>
      </c>
      <c r="N5" s="6">
        <f>Financial_Data[[#This Row],[LTV]]/Financial_Data[[#This Row],[CAC]]</f>
        <v>12.4019138755981</v>
      </c>
      <c r="O5" s="6">
        <f>ABS(Financial_Data[[#This Row],[Expenses]]-Financial_Data[[#This Row],[Revenue]])</f>
        <v>53000</v>
      </c>
    </row>
    <row r="6" spans="1:15">
      <c r="A6" t="s">
        <v>7</v>
      </c>
      <c r="B6">
        <v>182000</v>
      </c>
      <c r="C6">
        <v>120000</v>
      </c>
      <c r="D6">
        <v>21000</v>
      </c>
      <c r="E6">
        <v>175</v>
      </c>
      <c r="F6">
        <v>1030</v>
      </c>
      <c r="G6">
        <v>28</v>
      </c>
      <c r="H6">
        <v>120000</v>
      </c>
      <c r="I6">
        <v>71000</v>
      </c>
      <c r="J6" s="6">
        <f>Financial_Data[[#This Row],[Revenue]]-Financial_Data[[#This Row],[Expenses]]</f>
        <v>62000</v>
      </c>
      <c r="K6" s="4">
        <f>Financial_Data[[#This Row],[Profit]]/Financial_Data[[#This Row],[Revenue]]*100</f>
        <v>34.0659340659341</v>
      </c>
      <c r="L6" s="6">
        <f>Financial_Data[[#This Row],[Marketing_Cost]]/Financial_Data[[#This Row],[New_Customers]]</f>
        <v>120</v>
      </c>
      <c r="M6" s="6">
        <f>(Financial_Data[[#This Row],[Subscription_Revenue]]/Financial_Data[[#This Row],[Active_Customers]])*12</f>
        <v>1398.05825242718</v>
      </c>
      <c r="N6" s="6">
        <f>Financial_Data[[#This Row],[LTV]]/Financial_Data[[#This Row],[CAC]]</f>
        <v>11.6504854368932</v>
      </c>
      <c r="O6" s="6">
        <f>ABS(Financial_Data[[#This Row],[Expenses]]-Financial_Data[[#This Row],[Revenue]])</f>
        <v>62000</v>
      </c>
    </row>
    <row r="7" spans="1:15">
      <c r="A7" t="s">
        <v>8</v>
      </c>
      <c r="B7">
        <v>198000</v>
      </c>
      <c r="C7">
        <v>130000</v>
      </c>
      <c r="D7">
        <v>22000</v>
      </c>
      <c r="E7">
        <v>185</v>
      </c>
      <c r="F7">
        <v>1187</v>
      </c>
      <c r="G7">
        <v>30</v>
      </c>
      <c r="H7">
        <v>132000</v>
      </c>
      <c r="I7">
        <v>74000</v>
      </c>
      <c r="J7" s="6">
        <f>Financial_Data[[#This Row],[Revenue]]-Financial_Data[[#This Row],[Expenses]]</f>
        <v>68000</v>
      </c>
      <c r="K7" s="4">
        <f>Financial_Data[[#This Row],[Profit]]/Financial_Data[[#This Row],[Revenue]]*100</f>
        <v>34.3434343434343</v>
      </c>
      <c r="L7" s="6">
        <f>Financial_Data[[#This Row],[Marketing_Cost]]/Financial_Data[[#This Row],[New_Customers]]</f>
        <v>118.918918918919</v>
      </c>
      <c r="M7" s="6">
        <f>(Financial_Data[[#This Row],[Subscription_Revenue]]/Financial_Data[[#This Row],[Active_Customers]])*12</f>
        <v>1334.45661331087</v>
      </c>
      <c r="N7" s="6">
        <f>Financial_Data[[#This Row],[LTV]]/Financial_Data[[#This Row],[CAC]]</f>
        <v>11.2215669755687</v>
      </c>
      <c r="O7" s="6">
        <f>ABS(Financial_Data[[#This Row],[Expenses]]-Financial_Data[[#This Row],[Revenue]])</f>
        <v>68000</v>
      </c>
    </row>
    <row r="8" spans="1:15">
      <c r="A8" t="s">
        <v>9</v>
      </c>
      <c r="B8">
        <v>215000</v>
      </c>
      <c r="C8">
        <v>138000</v>
      </c>
      <c r="D8">
        <v>24000</v>
      </c>
      <c r="E8">
        <v>195</v>
      </c>
      <c r="F8">
        <v>1352</v>
      </c>
      <c r="G8">
        <v>34</v>
      </c>
      <c r="H8">
        <v>145000</v>
      </c>
      <c r="I8">
        <v>77000</v>
      </c>
      <c r="J8" s="6">
        <f>Financial_Data[[#This Row],[Revenue]]-Financial_Data[[#This Row],[Expenses]]</f>
        <v>77000</v>
      </c>
      <c r="K8" s="4">
        <f>Financial_Data[[#This Row],[Profit]]/Financial_Data[[#This Row],[Revenue]]*100</f>
        <v>35.8139534883721</v>
      </c>
      <c r="L8" s="6">
        <f>Financial_Data[[#This Row],[Marketing_Cost]]/Financial_Data[[#This Row],[New_Customers]]</f>
        <v>123.076923076923</v>
      </c>
      <c r="M8" s="6">
        <f>(Financial_Data[[#This Row],[Subscription_Revenue]]/Financial_Data[[#This Row],[Active_Customers]])*12</f>
        <v>1286.98224852071</v>
      </c>
      <c r="N8" s="6">
        <f>Financial_Data[[#This Row],[LTV]]/Financial_Data[[#This Row],[CAC]]</f>
        <v>10.4567307692308</v>
      </c>
      <c r="O8" s="6">
        <f>ABS(Financial_Data[[#This Row],[Expenses]]-Financial_Data[[#This Row],[Revenue]])</f>
        <v>77000</v>
      </c>
    </row>
    <row r="9" spans="1:15">
      <c r="A9" t="s">
        <v>10</v>
      </c>
      <c r="B9">
        <v>232000</v>
      </c>
      <c r="C9">
        <v>145000</v>
      </c>
      <c r="D9">
        <v>25000</v>
      </c>
      <c r="E9">
        <v>205</v>
      </c>
      <c r="F9">
        <v>1523</v>
      </c>
      <c r="G9">
        <v>36</v>
      </c>
      <c r="H9">
        <v>158000</v>
      </c>
      <c r="I9">
        <v>80000</v>
      </c>
      <c r="J9" s="6">
        <f>Financial_Data[[#This Row],[Revenue]]-Financial_Data[[#This Row],[Expenses]]</f>
        <v>87000</v>
      </c>
      <c r="K9" s="4">
        <f>Financial_Data[[#This Row],[Profit]]/Financial_Data[[#This Row],[Revenue]]*100</f>
        <v>37.5</v>
      </c>
      <c r="L9" s="6">
        <f>Financial_Data[[#This Row],[Marketing_Cost]]/Financial_Data[[#This Row],[New_Customers]]</f>
        <v>121.951219512195</v>
      </c>
      <c r="M9" s="6">
        <f>(Financial_Data[[#This Row],[Subscription_Revenue]]/Financial_Data[[#This Row],[Active_Customers]])*12</f>
        <v>1244.91135915955</v>
      </c>
      <c r="N9" s="6">
        <f>Financial_Data[[#This Row],[LTV]]/Financial_Data[[#This Row],[CAC]]</f>
        <v>10.2082731451083</v>
      </c>
      <c r="O9" s="6">
        <f>ABS(Financial_Data[[#This Row],[Expenses]]-Financial_Data[[#This Row],[Revenue]])</f>
        <v>87000</v>
      </c>
    </row>
    <row r="10" spans="1:15">
      <c r="A10" t="s">
        <v>11</v>
      </c>
      <c r="B10">
        <v>248000</v>
      </c>
      <c r="C10">
        <v>153000</v>
      </c>
      <c r="D10">
        <v>26000</v>
      </c>
      <c r="E10">
        <v>215</v>
      </c>
      <c r="F10">
        <v>1702</v>
      </c>
      <c r="G10">
        <v>38</v>
      </c>
      <c r="H10">
        <v>171000</v>
      </c>
      <c r="I10">
        <v>83000</v>
      </c>
      <c r="J10" s="6">
        <f>Financial_Data[[#This Row],[Revenue]]-Financial_Data[[#This Row],[Expenses]]</f>
        <v>95000</v>
      </c>
      <c r="K10" s="4">
        <f>Financial_Data[[#This Row],[Profit]]/Financial_Data[[#This Row],[Revenue]]*100</f>
        <v>38.3064516129032</v>
      </c>
      <c r="L10" s="6">
        <f>Financial_Data[[#This Row],[Marketing_Cost]]/Financial_Data[[#This Row],[New_Customers]]</f>
        <v>120.93023255814</v>
      </c>
      <c r="M10" s="6">
        <f>(Financial_Data[[#This Row],[Subscription_Revenue]]/Financial_Data[[#This Row],[Active_Customers]])*12</f>
        <v>1205.64042303173</v>
      </c>
      <c r="N10" s="6">
        <f>Financial_Data[[#This Row],[LTV]]/Financial_Data[[#This Row],[CAC]]</f>
        <v>9.96971888276236</v>
      </c>
      <c r="O10" s="6">
        <f>ABS(Financial_Data[[#This Row],[Expenses]]-Financial_Data[[#This Row],[Revenue]])</f>
        <v>95000</v>
      </c>
    </row>
    <row r="11" spans="1:15">
      <c r="A11" t="s">
        <v>12</v>
      </c>
      <c r="B11">
        <v>265000</v>
      </c>
      <c r="C11">
        <v>162000</v>
      </c>
      <c r="D11">
        <v>28000</v>
      </c>
      <c r="E11">
        <v>225</v>
      </c>
      <c r="F11">
        <v>1889</v>
      </c>
      <c r="G11">
        <v>42</v>
      </c>
      <c r="H11">
        <v>184000</v>
      </c>
      <c r="I11">
        <v>86000</v>
      </c>
      <c r="J11" s="6">
        <f>Financial_Data[[#This Row],[Revenue]]-Financial_Data[[#This Row],[Expenses]]</f>
        <v>103000</v>
      </c>
      <c r="K11" s="4">
        <f>Financial_Data[[#This Row],[Profit]]/Financial_Data[[#This Row],[Revenue]]*100</f>
        <v>38.8679245283019</v>
      </c>
      <c r="L11" s="6">
        <f>Financial_Data[[#This Row],[Marketing_Cost]]/Financial_Data[[#This Row],[New_Customers]]</f>
        <v>124.444444444444</v>
      </c>
      <c r="M11" s="6">
        <f>(Financial_Data[[#This Row],[Subscription_Revenue]]/Financial_Data[[#This Row],[Active_Customers]])*12</f>
        <v>1168.87241926945</v>
      </c>
      <c r="N11" s="6">
        <f>Financial_Data[[#This Row],[LTV]]/Financial_Data[[#This Row],[CAC]]</f>
        <v>9.39272479770097</v>
      </c>
      <c r="O11" s="6">
        <f>ABS(Financial_Data[[#This Row],[Expenses]]-Financial_Data[[#This Row],[Revenue]])</f>
        <v>103000</v>
      </c>
    </row>
    <row r="12" spans="1:15">
      <c r="A12" t="s">
        <v>13</v>
      </c>
      <c r="B12">
        <v>285000</v>
      </c>
      <c r="C12">
        <v>170000</v>
      </c>
      <c r="D12">
        <v>29000</v>
      </c>
      <c r="E12">
        <v>235</v>
      </c>
      <c r="F12">
        <v>2082</v>
      </c>
      <c r="G12">
        <v>45</v>
      </c>
      <c r="H12">
        <v>198000</v>
      </c>
      <c r="I12">
        <v>90000</v>
      </c>
      <c r="J12" s="6">
        <f>Financial_Data[[#This Row],[Revenue]]-Financial_Data[[#This Row],[Expenses]]</f>
        <v>115000</v>
      </c>
      <c r="K12" s="4">
        <f>Financial_Data[[#This Row],[Profit]]/Financial_Data[[#This Row],[Revenue]]*100</f>
        <v>40.3508771929825</v>
      </c>
      <c r="L12" s="6">
        <f>Financial_Data[[#This Row],[Marketing_Cost]]/Financial_Data[[#This Row],[New_Customers]]</f>
        <v>123.404255319149</v>
      </c>
      <c r="M12" s="6">
        <f>(Financial_Data[[#This Row],[Subscription_Revenue]]/Financial_Data[[#This Row],[Active_Customers]])*12</f>
        <v>1141.21037463977</v>
      </c>
      <c r="N12" s="6">
        <f>Financial_Data[[#This Row],[LTV]]/Financial_Data[[#This Row],[CAC]]</f>
        <v>9.24773924277055</v>
      </c>
      <c r="O12" s="6">
        <f>ABS(Financial_Data[[#This Row],[Expenses]]-Financial_Data[[#This Row],[Revenue]])</f>
        <v>115000</v>
      </c>
    </row>
    <row r="13" spans="1:15">
      <c r="A13" t="s">
        <v>14</v>
      </c>
      <c r="B13">
        <v>310000</v>
      </c>
      <c r="C13">
        <v>182000</v>
      </c>
      <c r="D13">
        <v>31000</v>
      </c>
      <c r="E13">
        <v>250</v>
      </c>
      <c r="F13">
        <v>2287</v>
      </c>
      <c r="G13">
        <v>48</v>
      </c>
      <c r="H13">
        <v>215000</v>
      </c>
      <c r="I13">
        <v>95000</v>
      </c>
      <c r="J13" s="6">
        <f>Financial_Data[[#This Row],[Revenue]]-Financial_Data[[#This Row],[Expenses]]</f>
        <v>128000</v>
      </c>
      <c r="K13" s="4">
        <f>Financial_Data[[#This Row],[Profit]]/Financial_Data[[#This Row],[Revenue]]*100</f>
        <v>41.2903225806452</v>
      </c>
      <c r="L13" s="6">
        <f>Financial_Data[[#This Row],[Marketing_Cost]]/Financial_Data[[#This Row],[New_Customers]]</f>
        <v>124</v>
      </c>
      <c r="M13" s="6">
        <f>(Financial_Data[[#This Row],[Subscription_Revenue]]/Financial_Data[[#This Row],[Active_Customers]])*12</f>
        <v>1128.11543506777</v>
      </c>
      <c r="N13" s="6">
        <f>Financial_Data[[#This Row],[LTV]]/Financial_Data[[#This Row],[CAC]]</f>
        <v>9.09770512151431</v>
      </c>
      <c r="O13" s="6">
        <f>ABS(Financial_Data[[#This Row],[Expenses]]-Financial_Data[[#This Row],[Revenue]])</f>
        <v>128000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5" outlineLevelCol="1"/>
  <cols>
    <col min="1" max="1" width="24.1428571428571" customWidth="1"/>
  </cols>
  <sheetData>
    <row r="1" spans="1:2">
      <c r="A1" t="s">
        <v>34</v>
      </c>
      <c r="B1" t="s">
        <v>35</v>
      </c>
    </row>
    <row r="2" spans="1:2">
      <c r="A2" t="s">
        <v>36</v>
      </c>
      <c r="B2">
        <f>SUM(Startup_Financials!B2:B13)</f>
        <v>2505000</v>
      </c>
    </row>
    <row r="3" spans="1:2">
      <c r="A3" t="s">
        <v>37</v>
      </c>
      <c r="B3">
        <f>SUM(Startup_Financials!C2:C13)</f>
        <v>1610000</v>
      </c>
    </row>
    <row r="4" spans="1:2">
      <c r="A4" t="s">
        <v>38</v>
      </c>
      <c r="B4">
        <f>B2-B3</f>
        <v>895000</v>
      </c>
    </row>
    <row r="5" spans="1:2">
      <c r="A5" t="s">
        <v>39</v>
      </c>
      <c r="B5">
        <f>AVERAGE(Startup_Financials!C2:C13)</f>
        <v>134166.666666667</v>
      </c>
    </row>
    <row r="6" spans="1:2">
      <c r="A6" t="s">
        <v>40</v>
      </c>
      <c r="B6">
        <f>SUM(Startup_Financials!D2:D13)</f>
        <v>274000</v>
      </c>
    </row>
    <row r="7" spans="1:2">
      <c r="A7" t="s">
        <v>41</v>
      </c>
      <c r="B7">
        <f>SUM(Startup_Financials!E2:E13)</f>
        <v>2245</v>
      </c>
    </row>
    <row r="8" spans="1:2">
      <c r="A8" t="s">
        <v>30</v>
      </c>
      <c r="B8">
        <f>B6/B7</f>
        <v>122.048997772829</v>
      </c>
    </row>
    <row r="9" spans="1:2">
      <c r="A9" t="s">
        <v>42</v>
      </c>
      <c r="B9">
        <f>AVERAGE(Startup_Financials!B2:B13)</f>
        <v>208750</v>
      </c>
    </row>
    <row r="10" spans="1:2">
      <c r="A10" t="s">
        <v>43</v>
      </c>
      <c r="B10">
        <f>AVERAGE(Startup_Financials!F2:F13)</f>
        <v>1315.75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O10" sqref="O10"/>
    </sheetView>
  </sheetViews>
  <sheetFormatPr defaultColWidth="9.14285714285714" defaultRowHeight="15" outlineLevelRow="3"/>
  <cols>
    <col min="1" max="1" width="14.4285714285714" customWidth="1"/>
    <col min="2" max="2" width="9.71428571428571"/>
    <col min="3" max="3" width="15.2857142857143" customWidth="1"/>
    <col min="4" max="4" width="9.71428571428571"/>
    <col min="5" max="5" width="12.1428571428571" customWidth="1"/>
    <col min="7" max="7" width="12.4285714285714" customWidth="1"/>
    <col min="8" max="8" width="12.8571428571429"/>
    <col min="9" max="9" width="12" customWidth="1"/>
    <col min="10" max="10" width="12.8571428571429"/>
  </cols>
  <sheetData>
    <row r="1" spans="1:10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4" spans="1:10">
      <c r="A4" t="s">
        <v>36</v>
      </c>
      <c r="B4" s="3">
        <f>KPI_Formulas!B2</f>
        <v>2505000</v>
      </c>
      <c r="C4" t="s">
        <v>45</v>
      </c>
      <c r="D4" s="3">
        <f>KPI_Formulas!B3</f>
        <v>1610000</v>
      </c>
      <c r="E4" t="s">
        <v>46</v>
      </c>
      <c r="F4" s="3">
        <f>KPI_Formulas!B4</f>
        <v>895000</v>
      </c>
      <c r="G4" t="s">
        <v>47</v>
      </c>
      <c r="H4" s="4">
        <f>KPI_Formulas!B8</f>
        <v>122.048997772829</v>
      </c>
      <c r="I4" t="s">
        <v>48</v>
      </c>
      <c r="J4" s="4">
        <f>AVERAGE(Startup_Financials!M2:M13)</f>
        <v>1386.83146829227</v>
      </c>
    </row>
  </sheetData>
  <mergeCells count="1">
    <mergeCell ref="A1:J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</vt:lpstr>
      <vt:lpstr>Startup_Financials</vt:lpstr>
      <vt:lpstr>KPI_Formulas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jhasu</cp:lastModifiedBy>
  <dcterms:created xsi:type="dcterms:W3CDTF">2026-06-30T09:13:00Z</dcterms:created>
  <dcterms:modified xsi:type="dcterms:W3CDTF">2026-06-30T10:42:24Z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46AA20D24B244A60AF785E21023D95C4_12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